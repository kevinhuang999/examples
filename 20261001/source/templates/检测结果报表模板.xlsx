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结果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2" fillId="2" borderId="1" applyAlignment="1" pivotButton="0" quotePrefix="0" xfId="0">
      <alignment horizontal="center"/>
    </xf>
    <xf numFmtId="165" fontId="0" fillId="0" borderId="1" pivotButton="0" quotePrefix="0" xfId="0"/>
    <xf numFmtId="164" fontId="0" fillId="0" borderId="1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2" customWidth="1" min="4" max="4"/>
    <col width="14" customWidth="1" min="5" max="5"/>
    <col width="10" customWidth="1" min="6" max="6"/>
    <col width="16" customWidth="1" min="7" max="7"/>
    <col width="14" customWidth="1" min="8" max="8"/>
    <col width="14" customWidth="1" min="9" max="9"/>
    <col width="10" customWidth="1" min="10" max="10"/>
  </cols>
  <sheetData>
    <row r="1">
      <c r="A1" s="1" t="inlineStr">
        <is>
          <t>检测结果报表</t>
        </is>
      </c>
    </row>
    <row r="2">
      <c r="A2" s="2" t="inlineStr">
        <is>
          <t>报告编号</t>
        </is>
      </c>
      <c r="B2" s="3" t="n"/>
    </row>
    <row r="3">
      <c r="A3" s="2" t="inlineStr">
        <is>
          <t>受检单位</t>
        </is>
      </c>
      <c r="B3" s="3" t="n"/>
    </row>
    <row r="4">
      <c r="A4" s="2" t="inlineStr">
        <is>
          <t>检测日期</t>
        </is>
      </c>
      <c r="B4" s="3" t="n"/>
    </row>
    <row r="6">
      <c r="A6" s="4" t="inlineStr">
        <is>
          <t>序号</t>
        </is>
      </c>
      <c r="B6" s="4" t="inlineStr">
        <is>
          <t>样品编号</t>
        </is>
      </c>
      <c r="C6" s="4" t="inlineStr">
        <is>
          <t>检测项目</t>
        </is>
      </c>
      <c r="D6" s="4" t="inlineStr">
        <is>
          <t>称样量(g)</t>
        </is>
      </c>
      <c r="E6" s="4" t="inlineStr">
        <is>
          <t>定容体积(mL)</t>
        </is>
      </c>
      <c r="F6" s="4" t="inlineStr">
        <is>
          <t>稀释倍数</t>
        </is>
      </c>
      <c r="G6" s="4" t="inlineStr">
        <is>
          <t>仪器读数(mg/L)</t>
        </is>
      </c>
      <c r="H6" s="4" t="inlineStr">
        <is>
          <t>含量(mg/kg)</t>
        </is>
      </c>
      <c r="I6" s="4" t="inlineStr">
        <is>
          <t>限值(mg/kg)</t>
        </is>
      </c>
      <c r="J6" s="4" t="inlineStr">
        <is>
          <t>判定</t>
        </is>
      </c>
    </row>
    <row r="7">
      <c r="A7" s="3" t="n"/>
      <c r="B7" s="3" t="n"/>
      <c r="C7" s="3" t="n"/>
      <c r="D7" s="5" t="n"/>
      <c r="E7" s="3" t="n"/>
      <c r="F7" s="3" t="n"/>
      <c r="G7" s="6" t="n"/>
      <c r="H7" s="6">
        <f>ROUND(G7*E7*F7/(D7*1000),3)</f>
        <v/>
      </c>
      <c r="I7" s="6" t="n"/>
      <c r="J7" s="3">
        <f>IF(H7&lt;=I7,"合格","不合格")</f>
        <v/>
      </c>
    </row>
    <row r="8">
      <c r="A8" s="3" t="n"/>
      <c r="B8" s="3" t="n"/>
      <c r="C8" s="3" t="n"/>
      <c r="D8" s="5" t="n"/>
      <c r="E8" s="3" t="n"/>
      <c r="F8" s="3" t="n"/>
      <c r="G8" s="6" t="n"/>
      <c r="H8" s="6">
        <f>ROUND(G8*E8*F8/(D8*1000),3)</f>
        <v/>
      </c>
      <c r="I8" s="6" t="n"/>
      <c r="J8" s="3">
        <f>IF(H8&lt;=I8,"合格","不合格")</f>
        <v/>
      </c>
    </row>
    <row r="9">
      <c r="A9" s="3" t="n"/>
      <c r="B9" s="3" t="n"/>
      <c r="C9" s="3" t="n"/>
      <c r="D9" s="5" t="n"/>
      <c r="E9" s="3" t="n"/>
      <c r="F9" s="3" t="n"/>
      <c r="G9" s="6" t="n"/>
      <c r="H9" s="6">
        <f>ROUND(G9*E9*F9/(D9*1000),3)</f>
        <v/>
      </c>
      <c r="I9" s="6" t="n"/>
      <c r="J9" s="3">
        <f>IF(H9&lt;=I9,"合格","不合格")</f>
        <v/>
      </c>
    </row>
    <row r="10">
      <c r="A10" s="3" t="n"/>
      <c r="B10" s="3" t="n"/>
      <c r="C10" s="3" t="n"/>
      <c r="D10" s="5" t="n"/>
      <c r="E10" s="3" t="n"/>
      <c r="F10" s="3" t="n"/>
      <c r="G10" s="6" t="n"/>
      <c r="H10" s="6">
        <f>ROUND(G10*E10*F10/(D10*1000),3)</f>
        <v/>
      </c>
      <c r="I10" s="6" t="n"/>
      <c r="J10" s="3">
        <f>IF(H10&lt;=I10,"合格","不合格")</f>
        <v/>
      </c>
    </row>
    <row r="11">
      <c r="B11" s="2" t="inlineStr">
        <is>
          <t>合格率</t>
        </is>
      </c>
      <c r="J11" s="7">
        <f>IF(COUNTIF(J7:J10,"合格")+COUNTIF(J7:J10,"不合格")=0,"",ROUND(COUNTIF(J7:J10,"合格")/(COUNTIF(J7:J10,"合格")+COUNTIF(J7:J10,"不合格")),4))</f>
        <v/>
      </c>
    </row>
    <row r="12">
      <c r="B12" t="inlineStr">
        <is>
          <t>说明：含量＝仪器读数 × 定容体积 × 稀释倍数 ÷（称样量 × 1000）；判定按「含量 ≤ 限值」为合格。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2026-10-01T01:53:03Z</dcterms:created>
  <dcterms:modified xmlns:dcterms="http://purl.org/dc/terms/" xmlns:xsi="http://www.w3.org/2001/XMLSchema-instance" xsi:type="dcterms:W3CDTF">2026-10-01T01:53:03Z</dcterms:modified>
</cp:coreProperties>
</file>